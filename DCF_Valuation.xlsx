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63CC2F8E-4CD9-4B23-AB2D-733190F8482B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Summary" sheetId="1" r:id="rId1"/>
    <sheet name="Historical" sheetId="2" r:id="rId2"/>
    <sheet name="Drivers" sheetId="3" r:id="rId3"/>
    <sheet name="Forecast" sheetId="4" r:id="rId4"/>
    <sheet name="Valuation" sheetId="5" r:id="rId5"/>
    <sheet name="Sensitivity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24" i="5"/>
  <c r="B21" i="5"/>
  <c r="B20" i="5"/>
  <c r="B22" i="5" s="1"/>
  <c r="B12" i="5"/>
  <c r="B18" i="4"/>
  <c r="B17" i="4"/>
  <c r="B16" i="4"/>
  <c r="G13" i="4"/>
  <c r="F13" i="4"/>
  <c r="E13" i="4"/>
  <c r="D13" i="4"/>
  <c r="C13" i="4"/>
  <c r="B10" i="4"/>
  <c r="B7" i="4"/>
  <c r="G6" i="4"/>
  <c r="F6" i="4"/>
  <c r="E6" i="4"/>
  <c r="D6" i="4"/>
  <c r="C6" i="4"/>
  <c r="B5" i="4"/>
  <c r="C5" i="4" s="1"/>
  <c r="B36" i="3"/>
  <c r="B30" i="3"/>
  <c r="B23" i="3"/>
  <c r="B20" i="3"/>
  <c r="B24" i="3" s="1"/>
  <c r="D8" i="2"/>
  <c r="C8" i="2"/>
  <c r="B8" i="2"/>
  <c r="D6" i="2"/>
  <c r="B6" i="4" s="1"/>
  <c r="C6" i="2"/>
  <c r="C10" i="1"/>
  <c r="C8" i="1"/>
  <c r="A8" i="1"/>
  <c r="B11" i="2" l="1"/>
  <c r="B12" i="2" s="1"/>
  <c r="B9" i="2"/>
  <c r="C11" i="2"/>
  <c r="C12" i="2" s="1"/>
  <c r="C9" i="2"/>
  <c r="B8" i="4"/>
  <c r="D11" i="2"/>
  <c r="D9" i="2"/>
  <c r="B9" i="4" s="1"/>
  <c r="B4" i="6"/>
  <c r="B13" i="5"/>
  <c r="F8" i="5"/>
  <c r="E8" i="5"/>
  <c r="D8" i="5"/>
  <c r="C8" i="5"/>
  <c r="B8" i="5"/>
  <c r="B35" i="3"/>
  <c r="C18" i="4"/>
  <c r="C19" i="4" s="1"/>
  <c r="C17" i="4"/>
  <c r="C16" i="4"/>
  <c r="C10" i="4"/>
  <c r="C7" i="4"/>
  <c r="C8" i="4" s="1"/>
  <c r="D5" i="4"/>
  <c r="B12" i="6"/>
  <c r="B11" i="6"/>
  <c r="B10" i="6"/>
  <c r="B9" i="6"/>
  <c r="B8" i="6"/>
  <c r="D18" i="4" l="1"/>
  <c r="D19" i="4" s="1"/>
  <c r="D17" i="4"/>
  <c r="D16" i="4"/>
  <c r="D10" i="4"/>
  <c r="D7" i="4"/>
  <c r="D8" i="4" s="1"/>
  <c r="E5" i="4"/>
  <c r="C11" i="4"/>
  <c r="C9" i="4"/>
  <c r="G7" i="6"/>
  <c r="F7" i="6"/>
  <c r="E7" i="6"/>
  <c r="D7" i="6"/>
  <c r="C7" i="6"/>
  <c r="B11" i="4"/>
  <c r="D12" i="2"/>
  <c r="B12" i="4" s="1"/>
  <c r="C14" i="4" l="1"/>
  <c r="C15" i="4" s="1"/>
  <c r="C20" i="4" s="1"/>
  <c r="C12" i="4"/>
  <c r="E18" i="4"/>
  <c r="E19" i="4" s="1"/>
  <c r="E17" i="4"/>
  <c r="E16" i="4"/>
  <c r="E10" i="4"/>
  <c r="E7" i="4"/>
  <c r="E8" i="4" s="1"/>
  <c r="F5" i="4"/>
  <c r="D11" i="4"/>
  <c r="D9" i="4"/>
  <c r="D14" i="4" l="1"/>
  <c r="D15" i="4" s="1"/>
  <c r="D20" i="4" s="1"/>
  <c r="D12" i="4"/>
  <c r="F18" i="4"/>
  <c r="F19" i="4" s="1"/>
  <c r="F17" i="4"/>
  <c r="F16" i="4"/>
  <c r="F10" i="4"/>
  <c r="F7" i="4"/>
  <c r="F8" i="4" s="1"/>
  <c r="G5" i="4"/>
  <c r="E11" i="4"/>
  <c r="E9" i="4"/>
  <c r="B6" i="5"/>
  <c r="B9" i="5" s="1"/>
  <c r="B16" i="1"/>
  <c r="E14" i="4" l="1"/>
  <c r="E15" i="4" s="1"/>
  <c r="E20" i="4" s="1"/>
  <c r="E12" i="4"/>
  <c r="G18" i="4"/>
  <c r="G19" i="4" s="1"/>
  <c r="G17" i="4"/>
  <c r="G16" i="4"/>
  <c r="G10" i="4"/>
  <c r="G7" i="4"/>
  <c r="G8" i="4" s="1"/>
  <c r="F11" i="4"/>
  <c r="F9" i="4"/>
  <c r="C6" i="5"/>
  <c r="C9" i="5" s="1"/>
  <c r="C16" i="1"/>
  <c r="F14" i="4" l="1"/>
  <c r="F15" i="4" s="1"/>
  <c r="F20" i="4" s="1"/>
  <c r="F12" i="4"/>
  <c r="G11" i="4"/>
  <c r="G9" i="4"/>
  <c r="D6" i="5"/>
  <c r="D9" i="5" s="1"/>
  <c r="D16" i="1"/>
  <c r="G14" i="4" l="1"/>
  <c r="G15" i="4" s="1"/>
  <c r="G20" i="4" s="1"/>
  <c r="G12" i="4"/>
  <c r="E6" i="5"/>
  <c r="E9" i="5" s="1"/>
  <c r="E16" i="1"/>
  <c r="F6" i="5" l="1"/>
  <c r="F16" i="1"/>
  <c r="E10" i="1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9" i="6"/>
  <c r="F9" i="6"/>
  <c r="E9" i="6"/>
  <c r="D9" i="6"/>
  <c r="C9" i="6"/>
  <c r="G8" i="6"/>
  <c r="F8" i="6"/>
  <c r="E8" i="6"/>
  <c r="D8" i="6"/>
  <c r="C8" i="6"/>
  <c r="B14" i="5" l="1"/>
  <c r="B15" i="5" s="1"/>
  <c r="B16" i="5" s="1"/>
  <c r="F9" i="5"/>
  <c r="B19" i="5" s="1"/>
  <c r="B23" i="5" l="1"/>
  <c r="E8" i="1"/>
  <c r="B26" i="5"/>
  <c r="B25" i="5" l="1"/>
  <c r="A10" i="1"/>
  <c r="G8" i="1" l="1"/>
  <c r="B27" i="5"/>
  <c r="G10" i="1" s="1"/>
</calcChain>
</file>

<file path=xl/sharedStrings.xml><?xml version="1.0" encoding="utf-8"?>
<sst xmlns="http://schemas.openxmlformats.org/spreadsheetml/2006/main" count="143" uniqueCount="99">
  <si>
    <t>DCF VALUATION | PORTFOLIO MODEL</t>
  </si>
  <si>
    <t>Illustrative company — five-year FCFF valuation with WACC and terminal growth sensitivity</t>
  </si>
  <si>
    <t>Valuation Snapshot</t>
  </si>
  <si>
    <t>WACC</t>
  </si>
  <si>
    <t>Terminal Growth</t>
  </si>
  <si>
    <t>Enterprise Value (€m)</t>
  </si>
  <si>
    <t>Implied Value / Share</t>
  </si>
  <si>
    <t>Equity Value (€m)</t>
  </si>
  <si>
    <t>Net Debt (€m)</t>
  </si>
  <si>
    <t>2030E FCFF (€m)</t>
  </si>
  <si>
    <t>Model Status</t>
  </si>
  <si>
    <t>Five-Year Free Cash Flow Profile</t>
  </si>
  <si>
    <t>Metric</t>
  </si>
  <si>
    <t>2026E</t>
  </si>
  <si>
    <t>2027E</t>
  </si>
  <si>
    <t>2028E</t>
  </si>
  <si>
    <t>2029E</t>
  </si>
  <si>
    <t>2030E</t>
  </si>
  <si>
    <t>FCFF (€m)</t>
  </si>
  <si>
    <t>Model Notes</t>
  </si>
  <si>
    <t>Purpose</t>
  </si>
  <si>
    <t>Educational / portfolio DCF model</t>
  </si>
  <si>
    <t>Method</t>
  </si>
  <si>
    <t>FCFF discounted at WACC + Gordon Growth terminal value</t>
  </si>
  <si>
    <t>Convention</t>
  </si>
  <si>
    <t>Year-end discounting</t>
  </si>
  <si>
    <t>Disclaimer</t>
  </si>
  <si>
    <t>All historical data and valuation assumptions are fictional.</t>
  </si>
  <si>
    <t>Historical Financials (€m)</t>
  </si>
  <si>
    <t>Three-year operating history used as the base for the forecast.</t>
  </si>
  <si>
    <t>2023A</t>
  </si>
  <si>
    <t>2024A</t>
  </si>
  <si>
    <t>2025A</t>
  </si>
  <si>
    <t>Revenue</t>
  </si>
  <si>
    <t>Revenue Growth %</t>
  </si>
  <si>
    <t>COGS</t>
  </si>
  <si>
    <t>Gross Profit</t>
  </si>
  <si>
    <t>Gross Margin %</t>
  </si>
  <si>
    <t>OPEX</t>
  </si>
  <si>
    <t>EBIT</t>
  </si>
  <si>
    <t>EBIT Margin %</t>
  </si>
  <si>
    <t>D&amp;A</t>
  </si>
  <si>
    <t>CapEx</t>
  </si>
  <si>
    <t>NWC</t>
  </si>
  <si>
    <t>Forecast Drivers &amp; Valuation Assumptions</t>
  </si>
  <si>
    <t>Yellow cells are editable assumptions. Blue font = hardcoded input.</t>
  </si>
  <si>
    <t>Operating Drivers</t>
  </si>
  <si>
    <t>COGS % of Revenue</t>
  </si>
  <si>
    <t>OPEX % of Revenue</t>
  </si>
  <si>
    <t>D&amp;A % of Revenue</t>
  </si>
  <si>
    <t>CapEx % of Revenue</t>
  </si>
  <si>
    <t>NWC % of Revenue</t>
  </si>
  <si>
    <t>Tax Rate</t>
  </si>
  <si>
    <t>WACC &amp; Capital Structure</t>
  </si>
  <si>
    <t>Value</t>
  </si>
  <si>
    <t>Risk-free Rate</t>
  </si>
  <si>
    <t>Equity Risk Premium</t>
  </si>
  <si>
    <t>Beta</t>
  </si>
  <si>
    <t>Cost of Equity</t>
  </si>
  <si>
    <t>Pre-tax Cost of Debt</t>
  </si>
  <si>
    <t>After-tax Cost of Debt</t>
  </si>
  <si>
    <t>Terminal Growth Rate</t>
  </si>
  <si>
    <t>Cash (€m)</t>
  </si>
  <si>
    <t>Debt (€m)</t>
  </si>
  <si>
    <t>Equity Value for WACC (€m)</t>
  </si>
  <si>
    <t>Shares Outstanding (m)</t>
  </si>
  <si>
    <t>Model Controls</t>
  </si>
  <si>
    <t>Check</t>
  </si>
  <si>
    <t>Status</t>
  </si>
  <si>
    <t>WACC &gt; Terminal Growth</t>
  </si>
  <si>
    <t>Debt and equity weights valid</t>
  </si>
  <si>
    <t>Operating Forecast &amp; FCFF (€m)</t>
  </si>
  <si>
    <t>Forecast linked to Drivers; FCFF = NOPAT + D&amp;A − CapEx − Change in NWC.</t>
  </si>
  <si>
    <t>Cash Taxes</t>
  </si>
  <si>
    <t>NOPAT</t>
  </si>
  <si>
    <t>Change in NWC</t>
  </si>
  <si>
    <t>FCFF</t>
  </si>
  <si>
    <t>DCF Valuation (€m, except per-share data)</t>
  </si>
  <si>
    <t>Year-end discounting convention | Gordon Growth terminal value</t>
  </si>
  <si>
    <t>Present Value of Forecast Cash Flows</t>
  </si>
  <si>
    <t>Discount Period</t>
  </si>
  <si>
    <t>Discount Factor</t>
  </si>
  <si>
    <t>PV of FCFF</t>
  </si>
  <si>
    <t>Terminal Value</t>
  </si>
  <si>
    <t>Terminal FCFF</t>
  </si>
  <si>
    <t>PV of Terminal Value</t>
  </si>
  <si>
    <t>Equity Bridge</t>
  </si>
  <si>
    <t>Enterprise Value</t>
  </si>
  <si>
    <t>Less: Debt</t>
  </si>
  <si>
    <t>Add: Cash</t>
  </si>
  <si>
    <t>Net Debt</t>
  </si>
  <si>
    <t>Equity Value</t>
  </si>
  <si>
    <t>Terminal Value / Enterprise Value</t>
  </si>
  <si>
    <t>Sensitivity Analysis — Implied Value / Share (€)</t>
  </si>
  <si>
    <t>Base case centered in the table: WACC ±1.0% and terminal growth ±1.0%.</t>
  </si>
  <si>
    <t>Base WACC</t>
  </si>
  <si>
    <t>Base Terminal Growth</t>
  </si>
  <si>
    <t>TGR \ WACC</t>
  </si>
  <si>
    <t>Higher WACC reduces valuation; higher terminal growth increases 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</si>
</sst>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#,##0.0;[Red]\(#,##0.0\);\-"/>
    <numFmt numFmtId="166" formatCode="\€0.00;[Red]\(\€0.00\);\-"/>
    <numFmt numFmtId="167" formatCode="0.0"/>
    <numFmt numFmtId="168" formatCode="0.000\x;[Red]\(0.000\x\);\-"/>
  </numFmts>
  <fonts count="13">
    <font>
      <sz val="11"/>
      <name val="Carlito"/>
    </font>
    <font>
      <b/>
      <sz val="16"/>
      <color rgb="FFFFFFFF"/>
      <name val="Carlito"/>
    </font>
    <font>
      <i/>
      <sz val="10"/>
      <color rgb="FF6B7280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2"/>
      <color rgb="FF008000"/>
      <name val="Carlito"/>
    </font>
    <font>
      <sz val="11"/>
      <color rgb="FF008000"/>
      <name val="Carlito"/>
    </font>
    <font>
      <b/>
      <sz val="11"/>
      <name val="Carlito"/>
    </font>
    <font>
      <sz val="11"/>
      <color rgb="FF6B7280"/>
      <name val="Carlito"/>
    </font>
    <font>
      <sz val="11"/>
      <color rgb="FF0000FF"/>
      <name val="Carlito"/>
    </font>
    <font>
      <sz val="11"/>
      <color rgb="FF000000"/>
      <name val="Carlito"/>
    </font>
    <font>
      <i/>
      <sz val="11"/>
      <color rgb="FF6B7280"/>
      <name val="Carlito"/>
    </font>
    <font>
      <b/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EF4FA"/>
      </patternFill>
    </fill>
    <fill>
      <patternFill patternType="solid">
        <fgColor rgb="FF163A5F"/>
      </patternFill>
    </fill>
    <fill>
      <patternFill patternType="solid">
        <fgColor rgb="FFDCE6F1"/>
      </patternFill>
    </fill>
    <fill>
      <patternFill patternType="solid">
        <fgColor rgb="FFF5F7FA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7F8C8D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5" borderId="0" xfId="0" applyFont="1" applyFill="1" applyAlignment="1">
      <alignment horizontal="right" vertical="center"/>
    </xf>
    <xf numFmtId="165" fontId="6" fillId="0" borderId="0" xfId="0" applyNumberFormat="1" applyFont="1"/>
    <xf numFmtId="0" fontId="0" fillId="0" borderId="0" xfId="0" applyAlignment="1">
      <alignment wrapText="1"/>
    </xf>
    <xf numFmtId="0" fontId="4" fillId="5" borderId="0" xfId="0" applyFont="1" applyFill="1" applyAlignment="1">
      <alignment horizontal="right" vertical="center" wrapText="1"/>
    </xf>
    <xf numFmtId="164" fontId="5" fillId="6" borderId="0" xfId="0" applyNumberFormat="1" applyFont="1" applyFill="1" applyAlignment="1">
      <alignment horizontal="center" wrapText="1"/>
    </xf>
    <xf numFmtId="165" fontId="5" fillId="6" borderId="0" xfId="0" applyNumberFormat="1" applyFont="1" applyFill="1" applyAlignment="1">
      <alignment horizontal="center" wrapText="1"/>
    </xf>
    <xf numFmtId="166" fontId="5" fillId="6" borderId="0" xfId="0" applyNumberFormat="1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165" fontId="6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/>
    <xf numFmtId="165" fontId="9" fillId="0" borderId="0" xfId="0" applyNumberFormat="1" applyFont="1"/>
    <xf numFmtId="165" fontId="0" fillId="0" borderId="0" xfId="0" applyNumberFormat="1"/>
    <xf numFmtId="165" fontId="10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0" fillId="0" borderId="1" xfId="0" applyBorder="1"/>
    <xf numFmtId="165" fontId="10" fillId="0" borderId="1" xfId="0" applyNumberFormat="1" applyFont="1" applyBorder="1"/>
    <xf numFmtId="164" fontId="9" fillId="7" borderId="0" xfId="0" applyNumberFormat="1" applyFont="1" applyFill="1" applyAlignment="1">
      <alignment wrapText="1"/>
    </xf>
    <xf numFmtId="0" fontId="11" fillId="0" borderId="0" xfId="0" applyFont="1" applyAlignment="1">
      <alignment wrapText="1"/>
    </xf>
    <xf numFmtId="2" fontId="9" fillId="7" borderId="0" xfId="0" applyNumberFormat="1" applyFont="1" applyFill="1" applyAlignment="1">
      <alignment wrapText="1"/>
    </xf>
    <xf numFmtId="164" fontId="10" fillId="0" borderId="0" xfId="0" applyNumberFormat="1" applyFont="1" applyAlignment="1">
      <alignment wrapText="1"/>
    </xf>
    <xf numFmtId="165" fontId="9" fillId="7" borderId="0" xfId="0" applyNumberFormat="1" applyFont="1" applyFill="1" applyAlignment="1">
      <alignment wrapText="1"/>
    </xf>
    <xf numFmtId="165" fontId="10" fillId="0" borderId="0" xfId="0" applyNumberFormat="1" applyFont="1" applyAlignment="1">
      <alignment wrapText="1"/>
    </xf>
    <xf numFmtId="164" fontId="6" fillId="0" borderId="0" xfId="0" applyNumberFormat="1" applyFont="1"/>
    <xf numFmtId="165" fontId="6" fillId="0" borderId="1" xfId="0" applyNumberFormat="1" applyFont="1" applyBorder="1"/>
    <xf numFmtId="165" fontId="0" fillId="0" borderId="1" xfId="0" applyNumberFormat="1" applyBorder="1"/>
    <xf numFmtId="0" fontId="12" fillId="0" borderId="1" xfId="0" applyFont="1" applyBorder="1"/>
    <xf numFmtId="165" fontId="12" fillId="0" borderId="1" xfId="0" applyNumberFormat="1" applyFont="1" applyBorder="1"/>
    <xf numFmtId="167" fontId="0" fillId="0" borderId="0" xfId="0" applyNumberFormat="1"/>
    <xf numFmtId="168" fontId="6" fillId="0" borderId="0" xfId="0" applyNumberFormat="1" applyFont="1"/>
    <xf numFmtId="166" fontId="0" fillId="0" borderId="0" xfId="0" applyNumberFormat="1"/>
    <xf numFmtId="0" fontId="0" fillId="0" borderId="2" xfId="0" applyBorder="1"/>
    <xf numFmtId="164" fontId="4" fillId="5" borderId="0" xfId="0" applyNumberFormat="1" applyFont="1" applyFill="1" applyAlignment="1">
      <alignment horizontal="right" vertical="center"/>
    </xf>
    <xf numFmtId="166" fontId="12" fillId="7" borderId="0" xfId="0" applyNumberFormat="1" applyFont="1" applyFill="1"/>
    <xf numFmtId="165" fontId="6" fillId="0" borderId="2" xfId="0" applyNumberFormat="1" applyFont="1" applyBorder="1"/>
    <xf numFmtId="165" fontId="10" fillId="0" borderId="2" xfId="0" applyNumberFormat="1" applyFont="1" applyBorder="1"/>
    <xf numFmtId="166" fontId="10" fillId="0" borderId="0" xfId="0" applyNumberFormat="1" applyFont="1"/>
    <xf numFmtId="164" fontId="10" fillId="0" borderId="2" xfId="0" applyNumberFormat="1" applyFont="1" applyBorder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ont>
        <b/>
        <color rgb="FFC00000"/>
      </font>
      <fill>
        <patternFill patternType="solid">
          <bgColor rgb="FFFCE8E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FCFF GROWTH</c:v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Summary!$B$15:$F$15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Summary!$B$16:$F$16</c:f>
              <c:numCache>
                <c:formatCode>#,##0.0;[Red]\(#,##0.0\);\-</c:formatCode>
                <c:ptCount val="5"/>
                <c:pt idx="0">
                  <c:v>124.19999999999999</c:v>
                </c:pt>
                <c:pt idx="1">
                  <c:v>147.76850000000005</c:v>
                </c:pt>
                <c:pt idx="2">
                  <c:v>171.69680000000011</c:v>
                </c:pt>
                <c:pt idx="3">
                  <c:v>196.69187339999988</c:v>
                </c:pt>
                <c:pt idx="4">
                  <c:v>219.33484451999999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1-43B0-B36A-98F6330BC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1"/>
        <c:overlap val="-27"/>
        <c:axId val="434945032"/>
        <c:axId val="434951176"/>
      </c:barChart>
      <c:catAx>
        <c:axId val="43494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51176"/>
        <c:crosses val="autoZero"/>
        <c:auto val="1"/>
        <c:lblAlgn val="ctr"/>
        <c:lblOffset val="100"/>
        <c:noMultiLvlLbl val="0"/>
      </c:catAx>
      <c:valAx>
        <c:axId val="43495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4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16</xdr:row>
      <xdr:rowOff>152400</xdr:rowOff>
    </xdr:from>
    <xdr:to>
      <xdr:col>6</xdr:col>
      <xdr:colOff>1181100</xdr:colOff>
      <xdr:row>31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1751876-C6E4-E0D0-0596-2F253B3E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Normal="100" zoomScaleSheetLayoutView="100" workbookViewId="0">
      <selection activeCell="Q21" sqref="Q21"/>
    </sheetView>
  </sheetViews>
  <sheetFormatPr defaultRowHeight="15"/>
  <cols>
    <col min="1" max="4" width="18" customWidth="1"/>
    <col min="5" max="5" width="22" customWidth="1"/>
    <col min="6" max="6" width="16" customWidth="1"/>
    <col min="7" max="7" width="23" customWidth="1"/>
    <col min="8" max="8" width="18" customWidth="1"/>
    <col min="9" max="9" width="4" customWidth="1"/>
  </cols>
  <sheetData>
    <row r="1" spans="1:9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>
      <c r="A2" s="41"/>
      <c r="B2" s="41"/>
      <c r="C2" s="41"/>
      <c r="D2" s="41"/>
      <c r="E2" s="41"/>
      <c r="F2" s="41"/>
      <c r="G2" s="41"/>
      <c r="H2" s="41"/>
      <c r="I2" s="41"/>
    </row>
    <row r="3" spans="1:9">
      <c r="A3" s="42" t="s">
        <v>1</v>
      </c>
      <c r="B3" s="42"/>
      <c r="C3" s="42"/>
      <c r="D3" s="42"/>
      <c r="E3" s="42"/>
      <c r="F3" s="42"/>
      <c r="G3" s="42"/>
      <c r="H3" s="42"/>
      <c r="I3" s="42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43" t="s">
        <v>2</v>
      </c>
      <c r="B5" s="43"/>
      <c r="C5" s="43"/>
      <c r="D5" s="43"/>
      <c r="E5" s="43"/>
      <c r="F5" s="43"/>
      <c r="G5" s="43"/>
      <c r="H5" s="43"/>
      <c r="I5" s="4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4" t="s">
        <v>3</v>
      </c>
      <c r="B7" s="4"/>
      <c r="C7" s="4" t="s">
        <v>4</v>
      </c>
      <c r="D7" s="4"/>
      <c r="E7" s="4" t="s">
        <v>5</v>
      </c>
      <c r="F7" s="4"/>
      <c r="G7" s="4" t="s">
        <v>6</v>
      </c>
      <c r="H7" s="4"/>
      <c r="I7" s="3"/>
    </row>
    <row r="8" spans="1:9">
      <c r="A8" s="5">
        <f>Drivers!B24</f>
        <v>8.3625000000000005E-2</v>
      </c>
      <c r="B8" s="3"/>
      <c r="C8" s="5">
        <f>Drivers!B25</f>
        <v>2.5000000000000001E-2</v>
      </c>
      <c r="D8" s="3"/>
      <c r="E8" s="6">
        <f>Valuation!B19</f>
        <v>3231.4095601288691</v>
      </c>
      <c r="F8" s="3"/>
      <c r="G8" s="7">
        <f>Valuation!B25</f>
        <v>30.314095601288692</v>
      </c>
      <c r="H8" s="3"/>
      <c r="I8" s="3"/>
    </row>
    <row r="9" spans="1:9">
      <c r="A9" s="4" t="s">
        <v>7</v>
      </c>
      <c r="B9" s="4"/>
      <c r="C9" s="4" t="s">
        <v>8</v>
      </c>
      <c r="D9" s="4"/>
      <c r="E9" s="4" t="s">
        <v>9</v>
      </c>
      <c r="F9" s="4"/>
      <c r="G9" s="4" t="s">
        <v>10</v>
      </c>
      <c r="H9" s="4"/>
      <c r="I9" s="3"/>
    </row>
    <row r="10" spans="1:9">
      <c r="A10" s="6">
        <f>Valuation!B23</f>
        <v>3031.4095601288691</v>
      </c>
      <c r="B10" s="3"/>
      <c r="C10" s="6">
        <f>Drivers!B30</f>
        <v>200</v>
      </c>
      <c r="D10" s="3"/>
      <c r="E10" s="6">
        <f>Forecast!G20</f>
        <v>219.33484451999999</v>
      </c>
      <c r="F10" s="3"/>
      <c r="G10" s="8" t="str">
        <f>Valuation!B27</f>
        <v>OK</v>
      </c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43" t="s">
        <v>11</v>
      </c>
      <c r="B13" s="43"/>
      <c r="C13" s="43"/>
      <c r="D13" s="43"/>
      <c r="E13" s="43"/>
      <c r="F13" s="43"/>
      <c r="G13" s="43"/>
      <c r="H13" s="43"/>
      <c r="I13" s="4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3"/>
      <c r="H15" s="3"/>
      <c r="I15" s="3"/>
    </row>
    <row r="16" spans="1:9">
      <c r="A16" s="3" t="s">
        <v>18</v>
      </c>
      <c r="B16" s="9">
        <f>Forecast!C20</f>
        <v>124.19999999999999</v>
      </c>
      <c r="C16" s="9">
        <f>Forecast!D20</f>
        <v>147.76850000000005</v>
      </c>
      <c r="D16" s="9">
        <f>Forecast!E20</f>
        <v>171.69680000000011</v>
      </c>
      <c r="E16" s="9">
        <f>Forecast!F20</f>
        <v>196.69187339999988</v>
      </c>
      <c r="F16" s="9">
        <f>Forecast!G20</f>
        <v>219.33484451999999</v>
      </c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43" t="s">
        <v>19</v>
      </c>
      <c r="B33" s="43"/>
      <c r="C33" s="43"/>
      <c r="D33" s="43"/>
      <c r="E33" s="43"/>
      <c r="F33" s="43"/>
      <c r="G33" s="43"/>
      <c r="H33" s="43"/>
      <c r="I33" s="43"/>
    </row>
    <row r="34" spans="1:9">
      <c r="A34" s="10" t="s">
        <v>20</v>
      </c>
      <c r="B34" s="11" t="s">
        <v>21</v>
      </c>
      <c r="C34" s="11"/>
      <c r="D34" s="11"/>
      <c r="E34" s="11"/>
      <c r="F34" s="11"/>
      <c r="G34" s="11"/>
      <c r="H34" s="11"/>
      <c r="I34" s="11"/>
    </row>
    <row r="35" spans="1:9">
      <c r="A35" s="10" t="s">
        <v>22</v>
      </c>
      <c r="B35" s="11" t="s">
        <v>23</v>
      </c>
      <c r="C35" s="11"/>
      <c r="D35" s="11"/>
      <c r="E35" s="11"/>
      <c r="F35" s="11"/>
      <c r="G35" s="11"/>
      <c r="H35" s="11"/>
      <c r="I35" s="11"/>
    </row>
    <row r="36" spans="1:9">
      <c r="A36" s="10" t="s">
        <v>24</v>
      </c>
      <c r="B36" s="11" t="s">
        <v>25</v>
      </c>
      <c r="C36" s="11"/>
      <c r="D36" s="11"/>
      <c r="E36" s="11"/>
      <c r="F36" s="11"/>
      <c r="G36" s="11"/>
      <c r="H36" s="11"/>
      <c r="I36" s="11"/>
    </row>
    <row r="37" spans="1:9">
      <c r="A37" s="10" t="s">
        <v>26</v>
      </c>
      <c r="B37" s="11" t="s">
        <v>27</v>
      </c>
      <c r="C37" s="11"/>
      <c r="D37" s="11"/>
      <c r="E37" s="11"/>
      <c r="F37" s="11"/>
      <c r="G37" s="11"/>
      <c r="H37" s="11"/>
      <c r="I37" s="11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</sheetData>
  <mergeCells count="5">
    <mergeCell ref="A1:I2"/>
    <mergeCell ref="A3:I3"/>
    <mergeCell ref="A5:I5"/>
    <mergeCell ref="A13:I13"/>
    <mergeCell ref="A33:I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zoomScaleSheetLayoutView="100" workbookViewId="0">
      <selection activeCell="N24" sqref="N24"/>
    </sheetView>
  </sheetViews>
  <sheetFormatPr defaultRowHeight="15"/>
  <cols>
    <col min="1" max="1" width="28" customWidth="1"/>
    <col min="2" max="4" width="15" customWidth="1"/>
  </cols>
  <sheetData>
    <row r="1" spans="1:4">
      <c r="A1" s="44" t="s">
        <v>28</v>
      </c>
      <c r="B1" s="44"/>
      <c r="C1" s="44"/>
      <c r="D1" s="44"/>
    </row>
    <row r="2" spans="1:4">
      <c r="A2" s="45" t="s">
        <v>29</v>
      </c>
      <c r="B2" s="45"/>
      <c r="C2" s="45"/>
      <c r="D2" s="45"/>
    </row>
    <row r="4" spans="1:4">
      <c r="A4" s="1" t="s">
        <v>12</v>
      </c>
      <c r="B4" s="1" t="s">
        <v>30</v>
      </c>
      <c r="C4" s="1" t="s">
        <v>31</v>
      </c>
      <c r="D4" s="1" t="s">
        <v>32</v>
      </c>
    </row>
    <row r="5" spans="1:4">
      <c r="A5" t="s">
        <v>33</v>
      </c>
      <c r="B5" s="13">
        <v>800</v>
      </c>
      <c r="C5" s="13">
        <v>880</v>
      </c>
      <c r="D5" s="13">
        <v>1000</v>
      </c>
    </row>
    <row r="6" spans="1:4">
      <c r="A6" t="s">
        <v>34</v>
      </c>
      <c r="B6" s="16"/>
      <c r="C6" s="17">
        <f>C5/B5-1</f>
        <v>0.10000000000000009</v>
      </c>
      <c r="D6" s="17">
        <f>D5/C5-1</f>
        <v>0.13636363636363646</v>
      </c>
    </row>
    <row r="7" spans="1:4">
      <c r="A7" t="s">
        <v>35</v>
      </c>
      <c r="B7" s="13">
        <v>480</v>
      </c>
      <c r="C7" s="13">
        <v>520</v>
      </c>
      <c r="D7" s="13">
        <v>580</v>
      </c>
    </row>
    <row r="8" spans="1:4">
      <c r="A8" s="18" t="s">
        <v>36</v>
      </c>
      <c r="B8" s="19">
        <f>B5-B7</f>
        <v>320</v>
      </c>
      <c r="C8" s="19">
        <f>C5-C7</f>
        <v>360</v>
      </c>
      <c r="D8" s="19">
        <f>D5-D7</f>
        <v>420</v>
      </c>
    </row>
    <row r="9" spans="1:4">
      <c r="A9" t="s">
        <v>37</v>
      </c>
      <c r="B9" s="17">
        <f>B8/B5</f>
        <v>0.4</v>
      </c>
      <c r="C9" s="17">
        <f>C8/C5</f>
        <v>0.40909090909090912</v>
      </c>
      <c r="D9" s="17">
        <f>D8/D5</f>
        <v>0.42</v>
      </c>
    </row>
    <row r="10" spans="1:4">
      <c r="A10" t="s">
        <v>38</v>
      </c>
      <c r="B10" s="13">
        <v>200</v>
      </c>
      <c r="C10" s="13">
        <v>220</v>
      </c>
      <c r="D10" s="13">
        <v>250</v>
      </c>
    </row>
    <row r="11" spans="1:4">
      <c r="A11" s="18" t="s">
        <v>39</v>
      </c>
      <c r="B11" s="19">
        <f>B8-B10</f>
        <v>120</v>
      </c>
      <c r="C11" s="19">
        <f>C8-C10</f>
        <v>140</v>
      </c>
      <c r="D11" s="19">
        <f>D8-D10</f>
        <v>170</v>
      </c>
    </row>
    <row r="12" spans="1:4">
      <c r="A12" t="s">
        <v>40</v>
      </c>
      <c r="B12" s="17">
        <f>B11/B5</f>
        <v>0.15</v>
      </c>
      <c r="C12" s="17">
        <f>C11/C5</f>
        <v>0.15909090909090909</v>
      </c>
      <c r="D12" s="17">
        <f>D11/D5</f>
        <v>0.17</v>
      </c>
    </row>
    <row r="13" spans="1:4">
      <c r="A13" t="s">
        <v>41</v>
      </c>
      <c r="B13" s="13">
        <v>35</v>
      </c>
      <c r="C13" s="13">
        <v>38</v>
      </c>
      <c r="D13" s="13">
        <v>42</v>
      </c>
    </row>
    <row r="14" spans="1:4">
      <c r="A14" t="s">
        <v>42</v>
      </c>
      <c r="B14" s="13">
        <v>45</v>
      </c>
      <c r="C14" s="13">
        <v>50</v>
      </c>
      <c r="D14" s="13">
        <v>55</v>
      </c>
    </row>
    <row r="15" spans="1:4">
      <c r="A15" t="s">
        <v>43</v>
      </c>
      <c r="B15" s="13">
        <v>80</v>
      </c>
      <c r="C15" s="13">
        <v>88</v>
      </c>
      <c r="D15" s="13">
        <v>100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zoomScaleSheetLayoutView="100" workbookViewId="0">
      <selection activeCell="C16" sqref="C16"/>
    </sheetView>
  </sheetViews>
  <sheetFormatPr defaultRowHeight="15"/>
  <cols>
    <col min="1" max="1" width="31" customWidth="1"/>
    <col min="2" max="2" width="15" customWidth="1"/>
    <col min="3" max="6" width="16" customWidth="1"/>
    <col min="7" max="7" width="24" customWidth="1"/>
  </cols>
  <sheetData>
    <row r="1" spans="1:7">
      <c r="A1" s="41" t="s">
        <v>44</v>
      </c>
      <c r="B1" s="41"/>
      <c r="C1" s="41"/>
      <c r="D1" s="41"/>
      <c r="E1" s="41"/>
      <c r="F1" s="41"/>
      <c r="G1" s="41"/>
    </row>
    <row r="2" spans="1:7">
      <c r="A2" s="42" t="s">
        <v>45</v>
      </c>
      <c r="B2" s="42"/>
      <c r="C2" s="42"/>
      <c r="D2" s="42"/>
      <c r="E2" s="42"/>
      <c r="F2" s="42"/>
      <c r="G2" s="42"/>
    </row>
    <row r="3" spans="1:7">
      <c r="A3" s="3"/>
      <c r="B3" s="3"/>
      <c r="C3" s="3"/>
      <c r="D3" s="3"/>
      <c r="E3" s="3"/>
      <c r="F3" s="3"/>
      <c r="G3" s="3"/>
    </row>
    <row r="4" spans="1:7">
      <c r="A4" s="43" t="s">
        <v>46</v>
      </c>
      <c r="B4" s="43"/>
      <c r="C4" s="43"/>
      <c r="D4" s="43"/>
      <c r="E4" s="43"/>
      <c r="F4" s="43"/>
      <c r="G4" s="43"/>
    </row>
    <row r="5" spans="1:7" ht="16.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/>
    </row>
    <row r="6" spans="1:7" ht="16.5">
      <c r="A6" s="3" t="s">
        <v>34</v>
      </c>
      <c r="B6" s="20">
        <v>0.1</v>
      </c>
      <c r="C6" s="20">
        <v>0.09</v>
      </c>
      <c r="D6" s="20">
        <v>0.08</v>
      </c>
      <c r="E6" s="20">
        <v>7.0000000000000007E-2</v>
      </c>
      <c r="F6" s="20">
        <v>0.06</v>
      </c>
      <c r="G6" s="21"/>
    </row>
    <row r="7" spans="1:7" ht="16.5">
      <c r="A7" s="3" t="s">
        <v>47</v>
      </c>
      <c r="B7" s="20">
        <v>0.57499999999999996</v>
      </c>
      <c r="C7" s="20">
        <v>0.56999999999999995</v>
      </c>
      <c r="D7" s="20">
        <v>0.56499999999999995</v>
      </c>
      <c r="E7" s="20">
        <v>0.56000000000000005</v>
      </c>
      <c r="F7" s="20">
        <v>0.55500000000000005</v>
      </c>
      <c r="G7" s="21"/>
    </row>
    <row r="8" spans="1:7" ht="16.5">
      <c r="A8" s="3" t="s">
        <v>48</v>
      </c>
      <c r="B8" s="20">
        <v>0.245</v>
      </c>
      <c r="C8" s="20">
        <v>0.24</v>
      </c>
      <c r="D8" s="20">
        <v>0.23499999999999999</v>
      </c>
      <c r="E8" s="20">
        <v>0.23</v>
      </c>
      <c r="F8" s="20">
        <v>0.22500000000000001</v>
      </c>
      <c r="G8" s="21"/>
    </row>
    <row r="9" spans="1:7" ht="16.5">
      <c r="A9" s="3" t="s">
        <v>49</v>
      </c>
      <c r="B9" s="20">
        <v>4.2000000000000003E-2</v>
      </c>
      <c r="C9" s="20">
        <v>4.2000000000000003E-2</v>
      </c>
      <c r="D9" s="20">
        <v>4.1000000000000002E-2</v>
      </c>
      <c r="E9" s="20">
        <v>4.1000000000000002E-2</v>
      </c>
      <c r="F9" s="20">
        <v>0.04</v>
      </c>
      <c r="G9" s="21"/>
    </row>
    <row r="10" spans="1:7" ht="16.5">
      <c r="A10" s="3" t="s">
        <v>50</v>
      </c>
      <c r="B10" s="20">
        <v>5.5E-2</v>
      </c>
      <c r="C10" s="20">
        <v>5.2999999999999999E-2</v>
      </c>
      <c r="D10" s="20">
        <v>5.0999999999999997E-2</v>
      </c>
      <c r="E10" s="20">
        <v>0.05</v>
      </c>
      <c r="F10" s="20">
        <v>0.05</v>
      </c>
      <c r="G10" s="21"/>
    </row>
    <row r="11" spans="1:7" ht="16.5">
      <c r="A11" s="3" t="s">
        <v>51</v>
      </c>
      <c r="B11" s="20">
        <v>0.1</v>
      </c>
      <c r="C11" s="20">
        <v>0.1</v>
      </c>
      <c r="D11" s="20">
        <v>0.1</v>
      </c>
      <c r="E11" s="20">
        <v>0.1</v>
      </c>
      <c r="F11" s="20">
        <v>0.1</v>
      </c>
      <c r="G11" s="21"/>
    </row>
    <row r="12" spans="1:7" ht="16.5">
      <c r="A12" s="3" t="s">
        <v>52</v>
      </c>
      <c r="B12" s="20">
        <v>0.25</v>
      </c>
      <c r="C12" s="20">
        <v>0.25</v>
      </c>
      <c r="D12" s="20">
        <v>0.25</v>
      </c>
      <c r="E12" s="20">
        <v>0.25</v>
      </c>
      <c r="F12" s="20">
        <v>0.25</v>
      </c>
      <c r="G12" s="21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43" t="s">
        <v>53</v>
      </c>
      <c r="B15" s="43"/>
      <c r="C15" s="43"/>
      <c r="D15" s="43"/>
      <c r="E15" s="3"/>
      <c r="F15" s="3"/>
      <c r="G15" s="3"/>
    </row>
    <row r="16" spans="1:7" ht="16.5">
      <c r="A16" s="4" t="s">
        <v>12</v>
      </c>
      <c r="B16" s="4" t="s">
        <v>54</v>
      </c>
      <c r="C16" s="4"/>
      <c r="D16" s="4"/>
      <c r="E16" s="3"/>
      <c r="F16" s="3"/>
      <c r="G16" s="3"/>
    </row>
    <row r="17" spans="1:7" ht="16.5">
      <c r="A17" s="3" t="s">
        <v>55</v>
      </c>
      <c r="B17" s="20">
        <v>0.03</v>
      </c>
      <c r="C17" s="3"/>
      <c r="D17" s="3"/>
      <c r="E17" s="3"/>
      <c r="F17" s="3"/>
      <c r="G17" s="3"/>
    </row>
    <row r="18" spans="1:7" ht="16.5">
      <c r="A18" s="3" t="s">
        <v>56</v>
      </c>
      <c r="B18" s="20">
        <v>0.06</v>
      </c>
      <c r="C18" s="3"/>
      <c r="D18" s="3"/>
      <c r="E18" s="3"/>
      <c r="F18" s="3"/>
      <c r="G18" s="3"/>
    </row>
    <row r="19" spans="1:7" ht="16.5">
      <c r="A19" s="3" t="s">
        <v>57</v>
      </c>
      <c r="B19" s="22">
        <v>1.1499999999999999</v>
      </c>
      <c r="C19" s="3"/>
      <c r="D19" s="3"/>
      <c r="E19" s="3"/>
      <c r="F19" s="3"/>
      <c r="G19" s="3"/>
    </row>
    <row r="20" spans="1:7" ht="16.5">
      <c r="A20" s="3" t="s">
        <v>58</v>
      </c>
      <c r="B20" s="23">
        <f>B17+B18*B19</f>
        <v>9.8999999999999991E-2</v>
      </c>
      <c r="C20" s="3"/>
      <c r="D20" s="3"/>
      <c r="E20" s="3"/>
      <c r="F20" s="3"/>
      <c r="G20" s="3"/>
    </row>
    <row r="21" spans="1:7" ht="16.5">
      <c r="A21" s="3" t="s">
        <v>59</v>
      </c>
      <c r="B21" s="20">
        <v>0.05</v>
      </c>
      <c r="C21" s="3"/>
      <c r="D21" s="3"/>
      <c r="E21" s="3"/>
      <c r="F21" s="3"/>
      <c r="G21" s="3"/>
    </row>
    <row r="22" spans="1:7" ht="16.5">
      <c r="A22" s="3" t="s">
        <v>52</v>
      </c>
      <c r="B22" s="20">
        <v>0.25</v>
      </c>
      <c r="C22" s="3"/>
      <c r="D22" s="3"/>
      <c r="E22" s="3"/>
      <c r="F22" s="3"/>
      <c r="G22" s="3"/>
    </row>
    <row r="23" spans="1:7" ht="16.5">
      <c r="A23" s="3" t="s">
        <v>60</v>
      </c>
      <c r="B23" s="23">
        <f>B21*(1-B22)</f>
        <v>3.7500000000000006E-2</v>
      </c>
      <c r="C23" s="3"/>
      <c r="D23" s="3"/>
      <c r="E23" s="3"/>
      <c r="F23" s="3"/>
      <c r="G23" s="3"/>
    </row>
    <row r="24" spans="1:7" ht="16.5">
      <c r="A24" s="3" t="s">
        <v>3</v>
      </c>
      <c r="B24" s="23">
        <f>B20*(B28/(B27+B28))+B23*(B27/(B27+B28))</f>
        <v>8.3625000000000005E-2</v>
      </c>
      <c r="C24" s="3"/>
      <c r="D24" s="3"/>
      <c r="E24" s="3"/>
      <c r="F24" s="3"/>
      <c r="G24" s="3"/>
    </row>
    <row r="25" spans="1:7" ht="16.5">
      <c r="A25" s="3" t="s">
        <v>61</v>
      </c>
      <c r="B25" s="20">
        <v>2.5000000000000001E-2</v>
      </c>
      <c r="C25" s="3"/>
      <c r="D25" s="3"/>
      <c r="E25" s="3"/>
      <c r="F25" s="3"/>
      <c r="G25" s="3"/>
    </row>
    <row r="26" spans="1:7" ht="16.5">
      <c r="A26" s="3" t="s">
        <v>62</v>
      </c>
      <c r="B26" s="24">
        <v>100</v>
      </c>
      <c r="C26" s="3"/>
      <c r="D26" s="3"/>
      <c r="E26" s="3"/>
      <c r="F26" s="3"/>
      <c r="G26" s="3"/>
    </row>
    <row r="27" spans="1:7" ht="16.5">
      <c r="A27" s="3" t="s">
        <v>63</v>
      </c>
      <c r="B27" s="24">
        <v>300</v>
      </c>
      <c r="C27" s="3"/>
      <c r="D27" s="3"/>
      <c r="E27" s="3"/>
      <c r="F27" s="3"/>
      <c r="G27" s="3"/>
    </row>
    <row r="28" spans="1:7" ht="16.5">
      <c r="A28" s="3" t="s">
        <v>64</v>
      </c>
      <c r="B28" s="24">
        <v>900</v>
      </c>
      <c r="C28" s="3"/>
      <c r="D28" s="3"/>
      <c r="E28" s="3"/>
      <c r="F28" s="3"/>
      <c r="G28" s="3"/>
    </row>
    <row r="29" spans="1:7" ht="16.5">
      <c r="A29" s="3" t="s">
        <v>65</v>
      </c>
      <c r="B29" s="24">
        <v>100</v>
      </c>
      <c r="C29" s="3"/>
      <c r="D29" s="3"/>
      <c r="E29" s="3"/>
      <c r="F29" s="3"/>
      <c r="G29" s="3"/>
    </row>
    <row r="30" spans="1:7" ht="16.5">
      <c r="A30" s="3" t="s">
        <v>8</v>
      </c>
      <c r="B30" s="25">
        <f>B27-B26</f>
        <v>200</v>
      </c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43" t="s">
        <v>66</v>
      </c>
      <c r="B33" s="43"/>
      <c r="C33" s="43"/>
      <c r="D33" s="43"/>
      <c r="E33" s="3"/>
      <c r="F33" s="3"/>
      <c r="G33" s="3"/>
    </row>
    <row r="34" spans="1:7">
      <c r="A34" s="4" t="s">
        <v>67</v>
      </c>
      <c r="B34" s="4" t="s">
        <v>68</v>
      </c>
      <c r="C34" s="3"/>
      <c r="D34" s="3"/>
      <c r="E34" s="3"/>
      <c r="F34" s="3"/>
      <c r="G34" s="3"/>
    </row>
    <row r="35" spans="1:7">
      <c r="A35" s="3" t="s">
        <v>69</v>
      </c>
      <c r="B35" s="3" t="str">
        <f>IF(B24&gt;B25,"OK","ERROR")</f>
        <v>OK</v>
      </c>
      <c r="C35" s="3"/>
      <c r="D35" s="3"/>
      <c r="E35" s="3"/>
      <c r="F35" s="3"/>
      <c r="G35" s="3"/>
    </row>
    <row r="36" spans="1:7">
      <c r="A36" s="3" t="s">
        <v>70</v>
      </c>
      <c r="B36" s="3" t="str">
        <f>IF(AND(B27&gt;=0,B28&gt;0),"OK","ERROR")</f>
        <v>OK</v>
      </c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</sheetData>
  <mergeCells count="5">
    <mergeCell ref="A1:G1"/>
    <mergeCell ref="A2:G2"/>
    <mergeCell ref="A4:G4"/>
    <mergeCell ref="A15:D15"/>
    <mergeCell ref="A33:D33"/>
  </mergeCells>
  <conditionalFormatting sqref="B35:B36">
    <cfRule type="expression" dxfId="3" priority="1">
      <formula>B35="OK"</formula>
    </cfRule>
    <cfRule type="expression" dxfId="2" priority="2">
      <formula>B35="ERROR"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zoomScaleNormal="100" zoomScaleSheetLayoutView="100" workbookViewId="0"/>
  </sheetViews>
  <sheetFormatPr defaultRowHeight="15"/>
  <cols>
    <col min="1" max="1" width="27" customWidth="1"/>
    <col min="2" max="7" width="15" customWidth="1"/>
  </cols>
  <sheetData>
    <row r="1" spans="1:7">
      <c r="A1" s="44" t="s">
        <v>71</v>
      </c>
      <c r="B1" s="44"/>
      <c r="C1" s="44"/>
      <c r="D1" s="44"/>
      <c r="E1" s="44"/>
      <c r="F1" s="44"/>
      <c r="G1" s="44"/>
    </row>
    <row r="2" spans="1:7">
      <c r="A2" s="45" t="s">
        <v>72</v>
      </c>
      <c r="B2" s="45"/>
      <c r="C2" s="45"/>
      <c r="D2" s="45"/>
      <c r="E2" s="45"/>
      <c r="F2" s="45"/>
      <c r="G2" s="45"/>
    </row>
    <row r="4" spans="1:7">
      <c r="A4" s="1" t="s">
        <v>12</v>
      </c>
      <c r="B4" s="1" t="s">
        <v>32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7">
      <c r="A5" t="s">
        <v>33</v>
      </c>
      <c r="B5" s="2">
        <f>Historical!D5</f>
        <v>1000</v>
      </c>
      <c r="C5" s="2">
        <f>B5*(1+Drivers!B6)</f>
        <v>1100</v>
      </c>
      <c r="D5" s="2">
        <f>C5*(1+Drivers!C6)</f>
        <v>1199</v>
      </c>
      <c r="E5" s="2">
        <f>D5*(1+Drivers!D6)</f>
        <v>1294.92</v>
      </c>
      <c r="F5" s="2">
        <f>E5*(1+Drivers!E6)</f>
        <v>1385.5644000000002</v>
      </c>
      <c r="G5" s="2">
        <f>F5*(1+Drivers!F6)</f>
        <v>1468.6982640000003</v>
      </c>
    </row>
    <row r="6" spans="1:7">
      <c r="A6" t="s">
        <v>34</v>
      </c>
      <c r="B6" s="26">
        <f>Historical!D6</f>
        <v>0.13636363636363646</v>
      </c>
      <c r="C6" s="26">
        <f>Drivers!B6</f>
        <v>0.1</v>
      </c>
      <c r="D6" s="26">
        <f>Drivers!C6</f>
        <v>0.09</v>
      </c>
      <c r="E6" s="26">
        <f>Drivers!D6</f>
        <v>0.08</v>
      </c>
      <c r="F6" s="26">
        <f>Drivers!E6</f>
        <v>7.0000000000000007E-2</v>
      </c>
      <c r="G6" s="26">
        <f>Drivers!F6</f>
        <v>0.06</v>
      </c>
    </row>
    <row r="7" spans="1:7">
      <c r="A7" t="s">
        <v>35</v>
      </c>
      <c r="B7" s="2">
        <f>Historical!D7</f>
        <v>580</v>
      </c>
      <c r="C7" s="2">
        <f>C5*Drivers!B7</f>
        <v>632.5</v>
      </c>
      <c r="D7" s="2">
        <f>D5*Drivers!C7</f>
        <v>683.43</v>
      </c>
      <c r="E7" s="2">
        <f>E5*Drivers!D7</f>
        <v>731.62979999999993</v>
      </c>
      <c r="F7" s="2">
        <f>F5*Drivers!E7</f>
        <v>775.91606400000023</v>
      </c>
      <c r="G7" s="2">
        <f>G5*Drivers!F7</f>
        <v>815.12753652000026</v>
      </c>
    </row>
    <row r="8" spans="1:7">
      <c r="A8" s="18" t="s">
        <v>36</v>
      </c>
      <c r="B8" s="27">
        <f>Historical!D8</f>
        <v>420</v>
      </c>
      <c r="C8" s="28">
        <f>C5-C7</f>
        <v>467.5</v>
      </c>
      <c r="D8" s="28">
        <f>D5-D7</f>
        <v>515.57000000000005</v>
      </c>
      <c r="E8" s="28">
        <f>E5-E7</f>
        <v>563.29020000000014</v>
      </c>
      <c r="F8" s="28">
        <f>F5-F7</f>
        <v>609.64833599999997</v>
      </c>
      <c r="G8" s="28">
        <f>G5-G7</f>
        <v>653.57072748000007</v>
      </c>
    </row>
    <row r="9" spans="1:7">
      <c r="A9" t="s">
        <v>37</v>
      </c>
      <c r="B9" s="26">
        <f>Historical!D9</f>
        <v>0.42</v>
      </c>
      <c r="C9" s="16">
        <f>C8/C5</f>
        <v>0.42499999999999999</v>
      </c>
      <c r="D9" s="16">
        <f>D8/D5</f>
        <v>0.43000000000000005</v>
      </c>
      <c r="E9" s="16">
        <f>E8/E5</f>
        <v>0.43500000000000011</v>
      </c>
      <c r="F9" s="16">
        <f>F8/F5</f>
        <v>0.43999999999999989</v>
      </c>
      <c r="G9" s="16">
        <f>G8/G5</f>
        <v>0.44499999999999995</v>
      </c>
    </row>
    <row r="10" spans="1:7">
      <c r="A10" t="s">
        <v>38</v>
      </c>
      <c r="B10" s="2">
        <f>Historical!D10</f>
        <v>250</v>
      </c>
      <c r="C10" s="2">
        <f>C5*Drivers!B8</f>
        <v>269.5</v>
      </c>
      <c r="D10" s="2">
        <f>D5*Drivers!C8</f>
        <v>287.76</v>
      </c>
      <c r="E10" s="2">
        <f>E5*Drivers!D8</f>
        <v>304.30619999999999</v>
      </c>
      <c r="F10" s="2">
        <f>F5*Drivers!E8</f>
        <v>318.67981200000008</v>
      </c>
      <c r="G10" s="2">
        <f>G5*Drivers!F8</f>
        <v>330.45710940000009</v>
      </c>
    </row>
    <row r="11" spans="1:7">
      <c r="A11" s="18" t="s">
        <v>39</v>
      </c>
      <c r="B11" s="27">
        <f>Historical!D11</f>
        <v>170</v>
      </c>
      <c r="C11" s="28">
        <f>C8-C10</f>
        <v>198</v>
      </c>
      <c r="D11" s="28">
        <f>D8-D10</f>
        <v>227.81000000000006</v>
      </c>
      <c r="E11" s="28">
        <f>E8-E10</f>
        <v>258.98400000000015</v>
      </c>
      <c r="F11" s="28">
        <f>F8-F10</f>
        <v>290.96852399999989</v>
      </c>
      <c r="G11" s="28">
        <f>G8-G10</f>
        <v>323.11361807999998</v>
      </c>
    </row>
    <row r="12" spans="1:7">
      <c r="A12" t="s">
        <v>40</v>
      </c>
      <c r="B12" s="26">
        <f>Historical!D12</f>
        <v>0.17</v>
      </c>
      <c r="C12" s="16">
        <f>C11/C5</f>
        <v>0.18</v>
      </c>
      <c r="D12" s="16">
        <f>D11/D5</f>
        <v>0.19000000000000006</v>
      </c>
      <c r="E12" s="16">
        <f>E11/E5</f>
        <v>0.20000000000000009</v>
      </c>
      <c r="F12" s="16">
        <f>F11/F5</f>
        <v>0.20999999999999988</v>
      </c>
      <c r="G12" s="16">
        <f>G11/G5</f>
        <v>0.21999999999999995</v>
      </c>
    </row>
    <row r="13" spans="1:7">
      <c r="A13" t="s">
        <v>52</v>
      </c>
      <c r="B13" s="16"/>
      <c r="C13" s="26">
        <f>Drivers!B12</f>
        <v>0.25</v>
      </c>
      <c r="D13" s="26">
        <f>Drivers!C12</f>
        <v>0.25</v>
      </c>
      <c r="E13" s="26">
        <f>Drivers!D12</f>
        <v>0.25</v>
      </c>
      <c r="F13" s="26">
        <f>Drivers!E12</f>
        <v>0.25</v>
      </c>
      <c r="G13" s="26">
        <f>Drivers!F12</f>
        <v>0.25</v>
      </c>
    </row>
    <row r="14" spans="1:7">
      <c r="A14" t="s">
        <v>73</v>
      </c>
      <c r="B14" s="14"/>
      <c r="C14" s="14">
        <f>C11*C13</f>
        <v>49.5</v>
      </c>
      <c r="D14" s="14">
        <f>D11*D13</f>
        <v>56.952500000000015</v>
      </c>
      <c r="E14" s="14">
        <f>E11*E13</f>
        <v>64.746000000000038</v>
      </c>
      <c r="F14" s="14">
        <f>F11*F13</f>
        <v>72.742130999999972</v>
      </c>
      <c r="G14" s="14">
        <f>G11*G13</f>
        <v>80.778404519999995</v>
      </c>
    </row>
    <row r="15" spans="1:7">
      <c r="A15" s="18" t="s">
        <v>74</v>
      </c>
      <c r="B15" s="28"/>
      <c r="C15" s="28">
        <f>C11-C14</f>
        <v>148.5</v>
      </c>
      <c r="D15" s="28">
        <f>D11-D14</f>
        <v>170.85750000000004</v>
      </c>
      <c r="E15" s="28">
        <f>E11-E14</f>
        <v>194.23800000000011</v>
      </c>
      <c r="F15" s="28">
        <f>F11-F14</f>
        <v>218.22639299999992</v>
      </c>
      <c r="G15" s="28">
        <f>G11-G14</f>
        <v>242.33521356</v>
      </c>
    </row>
    <row r="16" spans="1:7">
      <c r="A16" t="s">
        <v>41</v>
      </c>
      <c r="B16" s="2">
        <f>Historical!D13</f>
        <v>42</v>
      </c>
      <c r="C16" s="2">
        <f>C5*Drivers!B9</f>
        <v>46.2</v>
      </c>
      <c r="D16" s="2">
        <f>D5*Drivers!C9</f>
        <v>50.358000000000004</v>
      </c>
      <c r="E16" s="2">
        <f>E5*Drivers!D9</f>
        <v>53.091720000000002</v>
      </c>
      <c r="F16" s="2">
        <f>F5*Drivers!E9</f>
        <v>56.808140400000013</v>
      </c>
      <c r="G16" s="2">
        <f>G5*Drivers!F9</f>
        <v>58.747930560000015</v>
      </c>
    </row>
    <row r="17" spans="1:7">
      <c r="A17" t="s">
        <v>42</v>
      </c>
      <c r="B17" s="2">
        <f>Historical!D14</f>
        <v>55</v>
      </c>
      <c r="C17" s="2">
        <f>C5*Drivers!B10</f>
        <v>60.5</v>
      </c>
      <c r="D17" s="2">
        <f>D5*Drivers!C10</f>
        <v>63.546999999999997</v>
      </c>
      <c r="E17" s="2">
        <f>E5*Drivers!D10</f>
        <v>66.04092</v>
      </c>
      <c r="F17" s="2">
        <f>F5*Drivers!E10</f>
        <v>69.278220000000019</v>
      </c>
      <c r="G17" s="2">
        <f>G5*Drivers!F10</f>
        <v>73.434913200000025</v>
      </c>
    </row>
    <row r="18" spans="1:7">
      <c r="A18" t="s">
        <v>43</v>
      </c>
      <c r="B18" s="2">
        <f>Historical!D15</f>
        <v>100</v>
      </c>
      <c r="C18" s="2">
        <f>C5*Drivers!B11</f>
        <v>110</v>
      </c>
      <c r="D18" s="2">
        <f>D5*Drivers!C11</f>
        <v>119.9</v>
      </c>
      <c r="E18" s="2">
        <f>E5*Drivers!D11</f>
        <v>129.49200000000002</v>
      </c>
      <c r="F18" s="2">
        <f>F5*Drivers!E11</f>
        <v>138.55644000000004</v>
      </c>
      <c r="G18" s="2">
        <f>G5*Drivers!F11</f>
        <v>146.86982640000005</v>
      </c>
    </row>
    <row r="19" spans="1:7">
      <c r="A19" t="s">
        <v>75</v>
      </c>
      <c r="B19" s="14"/>
      <c r="C19" s="14">
        <f>C18-B18</f>
        <v>10</v>
      </c>
      <c r="D19" s="14">
        <f>D18-C18</f>
        <v>9.9000000000000057</v>
      </c>
      <c r="E19" s="14">
        <f>E18-D18</f>
        <v>9.592000000000013</v>
      </c>
      <c r="F19" s="14">
        <f>F18-E18</f>
        <v>9.0644400000000189</v>
      </c>
      <c r="G19" s="14">
        <f>G18-F18</f>
        <v>8.3133864000000131</v>
      </c>
    </row>
    <row r="20" spans="1:7">
      <c r="A20" s="29" t="s">
        <v>76</v>
      </c>
      <c r="B20" s="30"/>
      <c r="C20" s="30">
        <f>C15+C16-C17-C19</f>
        <v>124.19999999999999</v>
      </c>
      <c r="D20" s="30">
        <f>D15+D16-D17-D19</f>
        <v>147.76850000000005</v>
      </c>
      <c r="E20" s="30">
        <f>E15+E16-E17-E19</f>
        <v>171.69680000000011</v>
      </c>
      <c r="F20" s="30">
        <f>F15+F16-F17-F19</f>
        <v>196.69187339999988</v>
      </c>
      <c r="G20" s="30">
        <f>G15+G16-G17-G19</f>
        <v>219.33484451999999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zoomScaleNormal="100" zoomScaleSheetLayoutView="100" workbookViewId="0"/>
  </sheetViews>
  <sheetFormatPr defaultRowHeight="15"/>
  <cols>
    <col min="1" max="1" width="31" customWidth="1"/>
    <col min="2" max="6" width="16" customWidth="1"/>
  </cols>
  <sheetData>
    <row r="1" spans="1:6">
      <c r="A1" s="44" t="s">
        <v>77</v>
      </c>
      <c r="B1" s="44"/>
      <c r="C1" s="44"/>
      <c r="D1" s="44"/>
      <c r="E1" s="44"/>
      <c r="F1" s="44"/>
    </row>
    <row r="2" spans="1:6">
      <c r="A2" s="45" t="s">
        <v>78</v>
      </c>
      <c r="B2" s="45"/>
      <c r="C2" s="45"/>
      <c r="D2" s="45"/>
      <c r="E2" s="45"/>
      <c r="F2" s="45"/>
    </row>
    <row r="4" spans="1:6">
      <c r="A4" s="46" t="s">
        <v>79</v>
      </c>
      <c r="B4" s="46"/>
      <c r="C4" s="46"/>
      <c r="D4" s="46"/>
      <c r="E4" s="46"/>
      <c r="F4" s="46"/>
    </row>
    <row r="5" spans="1:6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>
      <c r="A6" t="s">
        <v>76</v>
      </c>
      <c r="B6" s="2">
        <f>Forecast!C20</f>
        <v>124.19999999999999</v>
      </c>
      <c r="C6" s="2">
        <f>Forecast!D20</f>
        <v>147.76850000000005</v>
      </c>
      <c r="D6" s="2">
        <f>Forecast!E20</f>
        <v>171.69680000000011</v>
      </c>
      <c r="E6" s="2">
        <f>Forecast!F20</f>
        <v>196.69187339999988</v>
      </c>
      <c r="F6" s="2">
        <f>Forecast!G20</f>
        <v>219.33484451999999</v>
      </c>
    </row>
    <row r="7" spans="1:6">
      <c r="A7" t="s">
        <v>80</v>
      </c>
      <c r="B7" s="31">
        <v>1</v>
      </c>
      <c r="C7" s="31">
        <v>2</v>
      </c>
      <c r="D7" s="31">
        <v>3</v>
      </c>
      <c r="E7" s="31">
        <v>4</v>
      </c>
      <c r="F7" s="31">
        <v>5</v>
      </c>
    </row>
    <row r="8" spans="1:6">
      <c r="A8" t="s">
        <v>81</v>
      </c>
      <c r="B8" s="32">
        <f>1/(1+Drivers!$B$24)^B7</f>
        <v>0.92282846925827655</v>
      </c>
      <c r="C8" s="32">
        <f>1/(1+Drivers!$B$24)^C7</f>
        <v>0.85161238367357384</v>
      </c>
      <c r="D8" s="32">
        <f>1/(1+Drivers!$B$24)^D7</f>
        <v>0.78589215242687627</v>
      </c>
      <c r="E8" s="32">
        <f>1/(1+Drivers!$B$24)^E7</f>
        <v>0.72524365202618624</v>
      </c>
      <c r="F8" s="32">
        <f>1/(1+Drivers!$B$24)^F7</f>
        <v>0.66927548923860769</v>
      </c>
    </row>
    <row r="9" spans="1:6">
      <c r="A9" s="18" t="s">
        <v>82</v>
      </c>
      <c r="B9" s="28">
        <f>B6*B8</f>
        <v>114.61529588187794</v>
      </c>
      <c r="C9" s="28">
        <f>C6*C8</f>
        <v>125.84148451686853</v>
      </c>
      <c r="D9" s="28">
        <f>D6*D8</f>
        <v>134.93516771680697</v>
      </c>
      <c r="E9" s="28">
        <f>E6*E8</f>
        <v>142.6495325884882</v>
      </c>
      <c r="F9" s="28">
        <f>F6*F8</f>
        <v>146.79543537319694</v>
      </c>
    </row>
    <row r="11" spans="1:6">
      <c r="A11" s="46" t="s">
        <v>83</v>
      </c>
      <c r="B11" s="46"/>
      <c r="C11" s="46"/>
    </row>
    <row r="12" spans="1:6">
      <c r="A12" t="s">
        <v>61</v>
      </c>
      <c r="B12" s="26">
        <f>Drivers!B25</f>
        <v>2.5000000000000001E-2</v>
      </c>
    </row>
    <row r="13" spans="1:6">
      <c r="A13" t="s">
        <v>3</v>
      </c>
      <c r="B13" s="26">
        <f>Drivers!B24</f>
        <v>8.3625000000000005E-2</v>
      </c>
    </row>
    <row r="14" spans="1:6">
      <c r="A14" t="s">
        <v>84</v>
      </c>
      <c r="B14" s="14">
        <f>F6*(1+B12)</f>
        <v>224.81821563299997</v>
      </c>
    </row>
    <row r="15" spans="1:6">
      <c r="A15" t="s">
        <v>83</v>
      </c>
      <c r="B15" s="14">
        <f>B14/(B13-B12)</f>
        <v>3834.8522922473339</v>
      </c>
    </row>
    <row r="16" spans="1:6">
      <c r="A16" t="s">
        <v>85</v>
      </c>
      <c r="B16" s="14">
        <f>B15*F8</f>
        <v>2566.5726440516305</v>
      </c>
    </row>
    <row r="18" spans="1:3">
      <c r="A18" s="46" t="s">
        <v>86</v>
      </c>
      <c r="B18" s="46"/>
      <c r="C18" s="46"/>
    </row>
    <row r="19" spans="1:3">
      <c r="A19" t="s">
        <v>87</v>
      </c>
      <c r="B19" s="15">
        <f>SUM(B9:F9)+B16</f>
        <v>3231.4095601288691</v>
      </c>
    </row>
    <row r="20" spans="1:3">
      <c r="A20" s="34" t="s">
        <v>88</v>
      </c>
      <c r="B20" s="37">
        <f>Drivers!B27</f>
        <v>300</v>
      </c>
    </row>
    <row r="21" spans="1:3">
      <c r="A21" t="s">
        <v>89</v>
      </c>
      <c r="B21" s="2">
        <f>Drivers!B26</f>
        <v>100</v>
      </c>
    </row>
    <row r="22" spans="1:3">
      <c r="A22" t="s">
        <v>90</v>
      </c>
      <c r="B22" s="15">
        <f>B20-B21</f>
        <v>200</v>
      </c>
    </row>
    <row r="23" spans="1:3">
      <c r="A23" s="34" t="s">
        <v>91</v>
      </c>
      <c r="B23" s="38">
        <f>B19-B22</f>
        <v>3031.4095601288691</v>
      </c>
    </row>
    <row r="24" spans="1:3">
      <c r="A24" t="s">
        <v>65</v>
      </c>
      <c r="B24" s="2">
        <f>Drivers!B29</f>
        <v>100</v>
      </c>
    </row>
    <row r="25" spans="1:3">
      <c r="A25" t="s">
        <v>6</v>
      </c>
      <c r="B25" s="39">
        <f>B23/B24</f>
        <v>30.314095601288692</v>
      </c>
    </row>
    <row r="26" spans="1:3">
      <c r="A26" s="34" t="s">
        <v>92</v>
      </c>
      <c r="B26" s="40">
        <f>B16/B19</f>
        <v>0.79425792252383975</v>
      </c>
    </row>
    <row r="27" spans="1:3">
      <c r="A27" t="s">
        <v>10</v>
      </c>
      <c r="B27" s="12" t="str">
        <f>IF(AND(B13&gt;B12,B19&gt;0,B23&gt;0,B25&gt;0),"OK","ERROR")</f>
        <v>OK</v>
      </c>
    </row>
  </sheetData>
  <mergeCells count="5">
    <mergeCell ref="A1:F1"/>
    <mergeCell ref="A2:F2"/>
    <mergeCell ref="A4:F4"/>
    <mergeCell ref="A11:C11"/>
    <mergeCell ref="A18:C18"/>
  </mergeCells>
  <conditionalFormatting sqref="B27">
    <cfRule type="expression" dxfId="1" priority="1">
      <formula>B27="OK"</formula>
    </cfRule>
    <cfRule type="expression" dxfId="0" priority="2">
      <formula>B27="ERROR"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zoomScaleNormal="100" zoomScaleSheetLayoutView="100" workbookViewId="0">
      <selection activeCell="B7" sqref="B7"/>
    </sheetView>
  </sheetViews>
  <sheetFormatPr defaultRowHeight="15"/>
  <cols>
    <col min="1" max="1" width="4" customWidth="1"/>
    <col min="2" max="2" width="22" customWidth="1"/>
    <col min="3" max="7" width="16" customWidth="1"/>
  </cols>
  <sheetData>
    <row r="1" spans="1:7">
      <c r="A1" s="44" t="s">
        <v>93</v>
      </c>
      <c r="B1" s="44"/>
      <c r="C1" s="44"/>
      <c r="D1" s="44"/>
      <c r="E1" s="44"/>
      <c r="F1" s="44"/>
      <c r="G1" s="44"/>
    </row>
    <row r="2" spans="1:7">
      <c r="A2" s="45" t="s">
        <v>94</v>
      </c>
      <c r="B2" s="45"/>
      <c r="C2" s="45"/>
      <c r="D2" s="45"/>
      <c r="E2" s="45"/>
      <c r="F2" s="45"/>
      <c r="G2" s="45"/>
    </row>
    <row r="4" spans="1:7">
      <c r="A4" t="s">
        <v>95</v>
      </c>
      <c r="B4" s="26">
        <f>Drivers!B24</f>
        <v>8.3625000000000005E-2</v>
      </c>
    </row>
    <row r="5" spans="1:7">
      <c r="A5" t="s">
        <v>96</v>
      </c>
      <c r="B5" s="26">
        <f>Drivers!B25</f>
        <v>2.5000000000000001E-2</v>
      </c>
    </row>
    <row r="7" spans="1:7">
      <c r="B7" s="1" t="s">
        <v>97</v>
      </c>
      <c r="C7" s="35">
        <f>$B$4-0.01</f>
        <v>7.362500000000001E-2</v>
      </c>
      <c r="D7" s="35">
        <f>$B$4-0.005</f>
        <v>7.8625E-2</v>
      </c>
      <c r="E7" s="35">
        <f>$B$4</f>
        <v>8.3625000000000005E-2</v>
      </c>
      <c r="F7" s="35">
        <f>$B$4+0.005</f>
        <v>8.8625000000000009E-2</v>
      </c>
      <c r="G7" s="35">
        <f>$B$4+0.01</f>
        <v>9.3625E-2</v>
      </c>
    </row>
    <row r="8" spans="1:7">
      <c r="B8" s="35">
        <f>$B$5-0.01</f>
        <v>1.5000000000000001E-2</v>
      </c>
      <c r="C8" s="33">
        <f>((Forecast!$C$20/(1+C$7)^1)+(Forecast!$D$20/(1+C$7)^2)+(Forecast!$E$20/(1+C$7)^3)+(Forecast!$F$20/(1+C$7)^4)+(Forecast!$G$20/(1+C$7)^5)+(((Forecast!$G$20*(1+$B8))/(C$7-$B8))/(1+C$7)^5)-Drivers!$B$27+Drivers!$B$26)/Drivers!$B$29</f>
        <v>31.465403710285738</v>
      </c>
      <c r="D8" s="33">
        <f>((Forecast!$C$20/(1+D$7)^1)+(Forecast!$D$20/(1+D$7)^2)+(Forecast!$E$20/(1+D$7)^3)+(Forecast!$F$20/(1+D$7)^4)+(Forecast!$G$20/(1+D$7)^5)+(((Forecast!$G$20*(1+$B8))/(D$7-$B8))/(1+D$7)^5)-Drivers!$B$27+Drivers!$B$26)/Drivers!$B$29</f>
        <v>28.71108829865469</v>
      </c>
      <c r="E8" s="33">
        <f>((Forecast!$C$20/(1+E$7)^1)+(Forecast!$D$20/(1+E$7)^2)+(Forecast!$E$20/(1+E$7)^3)+(Forecast!$F$20/(1+E$7)^4)+(Forecast!$G$20/(1+E$7)^5)+(((Forecast!$G$20*(1+$B8))/(E$7-$B8))/(1+E$7)^5)-Drivers!$B$27+Drivers!$B$26)/Drivers!$B$29</f>
        <v>26.360189474622274</v>
      </c>
      <c r="F8" s="33">
        <f>((Forecast!$C$20/(1+F$7)^1)+(Forecast!$D$20/(1+F$7)^2)+(Forecast!$E$20/(1+F$7)^3)+(Forecast!$F$20/(1+F$7)^4)+(Forecast!$G$20/(1+F$7)^5)+(((Forecast!$G$20*(1+$B8))/(F$7-$B8))/(1+F$7)^5)-Drivers!$B$27+Drivers!$B$26)/Drivers!$B$29</f>
        <v>24.330471945123485</v>
      </c>
      <c r="G8" s="33">
        <f>((Forecast!$C$20/(1+G$7)^1)+(Forecast!$D$20/(1+G$7)^2)+(Forecast!$E$20/(1+G$7)^3)+(Forecast!$F$20/(1+G$7)^4)+(Forecast!$G$20/(1+G$7)^5)+(((Forecast!$G$20*(1+$B8))/(G$7-$B8))/(1+G$7)^5)-Drivers!$B$27+Drivers!$B$26)/Drivers!$B$29</f>
        <v>22.560619987829963</v>
      </c>
    </row>
    <row r="9" spans="1:7">
      <c r="B9" s="35">
        <f>$B$5-0.005</f>
        <v>0.02</v>
      </c>
      <c r="C9" s="33">
        <f>((Forecast!$C$20/(1+C$7)^1)+(Forecast!$D$20/(1+C$7)^2)+(Forecast!$E$20/(1+C$7)^3)+(Forecast!$F$20/(1+C$7)^4)+(Forecast!$G$20/(1+C$7)^5)+(((Forecast!$G$20*(1+$B9))/(C$7-$B9))/(1+C$7)^5)-Drivers!$B$27+Drivers!$B$26)/Drivers!$B$29</f>
        <v>34.090933870740635</v>
      </c>
      <c r="D9" s="33">
        <f>((Forecast!$C$20/(1+D$7)^1)+(Forecast!$D$20/(1+D$7)^2)+(Forecast!$E$20/(1+D$7)^3)+(Forecast!$F$20/(1+D$7)^4)+(Forecast!$G$20/(1+D$7)^5)+(((Forecast!$G$20*(1+$B9))/(D$7-$B9))/(1+D$7)^5)-Drivers!$B$27+Drivers!$B$26)/Drivers!$B$29</f>
        <v>30.883214510456821</v>
      </c>
      <c r="E9" s="33">
        <f>((Forecast!$C$20/(1+E$7)^1)+(Forecast!$D$20/(1+E$7)^2)+(Forecast!$E$20/(1+E$7)^3)+(Forecast!$F$20/(1+E$7)^4)+(Forecast!$G$20/(1+E$7)^5)+(((Forecast!$G$20*(1+$B9))/(E$7-$B9))/(1+E$7)^5)-Drivers!$B$27+Drivers!$B$26)/Drivers!$B$29</f>
        <v>28.181782768734802</v>
      </c>
      <c r="F9" s="33">
        <f>((Forecast!$C$20/(1+F$7)^1)+(Forecast!$D$20/(1+F$7)^2)+(Forecast!$E$20/(1+F$7)^3)+(Forecast!$F$20/(1+F$7)^4)+(Forecast!$G$20/(1+F$7)^5)+(((Forecast!$G$20*(1+$B9))/(F$7-$B9))/(1+F$7)^5)-Drivers!$B$27+Drivers!$B$26)/Drivers!$B$29</f>
        <v>25.875928340160712</v>
      </c>
      <c r="G9" s="33">
        <f>((Forecast!$C$20/(1+G$7)^1)+(Forecast!$D$20/(1+G$7)^2)+(Forecast!$E$20/(1+G$7)^3)+(Forecast!$F$20/(1+G$7)^4)+(Forecast!$G$20/(1+G$7)^5)+(((Forecast!$G$20*(1+$B9))/(G$7-$B9))/(1+G$7)^5)-Drivers!$B$27+Drivers!$B$26)/Drivers!$B$29</f>
        <v>23.885016264297789</v>
      </c>
    </row>
    <row r="10" spans="1:7">
      <c r="B10" s="35">
        <f>$B$5</f>
        <v>2.5000000000000001E-2</v>
      </c>
      <c r="C10" s="33">
        <f>((Forecast!$C$20/(1+C$7)^1)+(Forecast!$D$20/(1+C$7)^2)+(Forecast!$E$20/(1+C$7)^3)+(Forecast!$F$20/(1+C$7)^4)+(Forecast!$G$20/(1+C$7)^5)+(((Forecast!$G$20*(1+$B10))/(C$7-$B10))/(1+C$7)^5)-Drivers!$B$27+Drivers!$B$26)/Drivers!$B$29</f>
        <v>37.256418819978016</v>
      </c>
      <c r="D10" s="33">
        <f>((Forecast!$C$20/(1+D$7)^1)+(Forecast!$D$20/(1+D$7)^2)+(Forecast!$E$20/(1+D$7)^3)+(Forecast!$F$20/(1+D$7)^4)+(Forecast!$G$20/(1+D$7)^5)+(((Forecast!$G$20*(1+$B10))/(D$7-$B10))/(1+D$7)^5)-Drivers!$B$27+Drivers!$B$26)/Drivers!$B$29</f>
        <v>33.460399223294296</v>
      </c>
      <c r="E10" s="36">
        <f>((Forecast!$C$20/(1+E$7)^1)+(Forecast!$D$20/(1+E$7)^2)+(Forecast!$E$20/(1+E$7)^3)+(Forecast!$F$20/(1+E$7)^4)+(Forecast!$G$20/(1+E$7)^5)+(((Forecast!$G$20*(1+$B10))/(E$7-$B10))/(1+E$7)^5)-Drivers!$B$27+Drivers!$B$26)/Drivers!$B$29</f>
        <v>30.314095601288692</v>
      </c>
      <c r="F10" s="33">
        <f>((Forecast!$C$20/(1+F$7)^1)+(Forecast!$D$20/(1+F$7)^2)+(Forecast!$E$20/(1+F$7)^3)+(Forecast!$F$20/(1+F$7)^4)+(Forecast!$G$20/(1+F$7)^5)+(((Forecast!$G$20*(1+$B10))/(F$7-$B10))/(1+F$7)^5)-Drivers!$B$27+Drivers!$B$26)/Drivers!$B$29</f>
        <v>27.66428554384818</v>
      </c>
      <c r="G10" s="33">
        <f>((Forecast!$C$20/(1+G$7)^1)+(Forecast!$D$20/(1+G$7)^2)+(Forecast!$E$20/(1+G$7)^3)+(Forecast!$F$20/(1+G$7)^4)+(Forecast!$G$20/(1+G$7)^5)+(((Forecast!$G$20*(1+$B10))/(G$7-$B10))/(1+G$7)^5)-Drivers!$B$27+Drivers!$B$26)/Drivers!$B$29</f>
        <v>25.40240289070627</v>
      </c>
    </row>
    <row r="11" spans="1:7">
      <c r="B11" s="35">
        <f>$B$5+0.005</f>
        <v>3.0000000000000002E-2</v>
      </c>
      <c r="C11" s="33">
        <f>((Forecast!$C$20/(1+C$7)^1)+(Forecast!$D$20/(1+C$7)^2)+(Forecast!$E$20/(1+C$7)^3)+(Forecast!$F$20/(1+C$7)^4)+(Forecast!$G$20/(1+C$7)^5)+(((Forecast!$G$20*(1+$B11))/(C$7-$B11))/(1+C$7)^5)-Drivers!$B$27+Drivers!$B$26)/Drivers!$B$29</f>
        <v>41.147516365029134</v>
      </c>
      <c r="D11" s="33">
        <f>((Forecast!$C$20/(1+D$7)^1)+(Forecast!$D$20/(1+D$7)^2)+(Forecast!$E$20/(1+D$7)^3)+(Forecast!$F$20/(1+D$7)^4)+(Forecast!$G$20/(1+D$7)^5)+(((Forecast!$G$20*(1+$B11))/(D$7-$B11))/(1+D$7)^5)-Drivers!$B$27+Drivers!$B$26)/Drivers!$B$29</f>
        <v>36.567596216406841</v>
      </c>
      <c r="E11" s="33">
        <f>((Forecast!$C$20/(1+E$7)^1)+(Forecast!$D$20/(1+E$7)^2)+(Forecast!$E$20/(1+E$7)^3)+(Forecast!$F$20/(1+E$7)^4)+(Forecast!$G$20/(1+E$7)^5)+(((Forecast!$G$20*(1+$B11))/(E$7-$B11))/(1+E$7)^5)-Drivers!$B$27+Drivers!$B$26)/Drivers!$B$29</f>
        <v>32.844042528491329</v>
      </c>
      <c r="F11" s="33">
        <f>((Forecast!$C$20/(1+F$7)^1)+(Forecast!$D$20/(1+F$7)^2)+(Forecast!$E$20/(1+F$7)^3)+(Forecast!$F$20/(1+F$7)^4)+(Forecast!$G$20/(1+F$7)^5)+(((Forecast!$G$20*(1+$B11))/(F$7-$B11))/(1+F$7)^5)-Drivers!$B$27+Drivers!$B$26)/Drivers!$B$29</f>
        <v>29.757693016821371</v>
      </c>
      <c r="G11" s="33">
        <f>((Forecast!$C$20/(1+G$7)^1)+(Forecast!$D$20/(1+G$7)^2)+(Forecast!$E$20/(1+G$7)^3)+(Forecast!$F$20/(1+G$7)^4)+(Forecast!$G$20/(1+G$7)^5)+(((Forecast!$G$20*(1+$B11))/(G$7-$B11))/(1+G$7)^5)-Drivers!$B$27+Drivers!$B$26)/Drivers!$B$29</f>
        <v>27.158278574310597</v>
      </c>
    </row>
    <row r="12" spans="1:7">
      <c r="B12" s="35">
        <f>$B$5+0.01</f>
        <v>3.5000000000000003E-2</v>
      </c>
      <c r="C12" s="33">
        <f>((Forecast!$C$20/(1+C$7)^1)+(Forecast!$D$20/(1+C$7)^2)+(Forecast!$E$20/(1+C$7)^3)+(Forecast!$F$20/(1+C$7)^4)+(Forecast!$G$20/(1+C$7)^5)+(((Forecast!$G$20*(1+$B12))/(C$7-$B12))/(1+C$7)^5)-Drivers!$B$27+Drivers!$B$26)/Drivers!$B$29</f>
        <v>46.046017805239124</v>
      </c>
      <c r="D12" s="33">
        <f>((Forecast!$C$20/(1+D$7)^1)+(Forecast!$D$20/(1+D$7)^2)+(Forecast!$E$20/(1+D$7)^3)+(Forecast!$F$20/(1+D$7)^4)+(Forecast!$G$20/(1+D$7)^5)+(((Forecast!$G$20*(1+$B12))/(D$7-$B12))/(1+D$7)^5)-Drivers!$B$27+Drivers!$B$26)/Drivers!$B$29</f>
        <v>40.38704466925865</v>
      </c>
      <c r="E12" s="33">
        <f>((Forecast!$C$20/(1+E$7)^1)+(Forecast!$D$20/(1+E$7)^2)+(Forecast!$E$20/(1+E$7)^3)+(Forecast!$F$20/(1+E$7)^4)+(Forecast!$G$20/(1+E$7)^5)+(((Forecast!$G$20*(1+$B12))/(E$7-$B12))/(1+E$7)^5)-Drivers!$B$27+Drivers!$B$26)/Drivers!$B$29</f>
        <v>35.894287024270348</v>
      </c>
      <c r="F12" s="33">
        <f>((Forecast!$C$20/(1+F$7)^1)+(Forecast!$D$20/(1+F$7)^2)+(Forecast!$E$20/(1+F$7)^3)+(Forecast!$F$20/(1+F$7)^4)+(Forecast!$G$20/(1+F$7)^5)+(((Forecast!$G$20*(1+$B12))/(F$7-$B12))/(1+F$7)^5)-Drivers!$B$27+Drivers!$B$26)/Drivers!$B$29</f>
        <v>32.241479505733608</v>
      </c>
      <c r="G12" s="33">
        <f>((Forecast!$C$20/(1+G$7)^1)+(Forecast!$D$20/(1+G$7)^2)+(Forecast!$E$20/(1+G$7)^3)+(Forecast!$F$20/(1+G$7)^4)+(Forecast!$G$20/(1+G$7)^5)+(((Forecast!$G$20*(1+$B12))/(G$7-$B12))/(1+G$7)^5)-Drivers!$B$27+Drivers!$B$26)/Drivers!$B$29</f>
        <v>29.213663969403925</v>
      </c>
    </row>
    <row r="15" spans="1:7">
      <c r="B15" s="45" t="s">
        <v>98</v>
      </c>
      <c r="C15" s="45"/>
      <c r="D15" s="45"/>
      <c r="E15" s="45"/>
      <c r="F15" s="45"/>
      <c r="G15" s="45"/>
    </row>
  </sheetData>
  <mergeCells count="3">
    <mergeCell ref="A1:G1"/>
    <mergeCell ref="A2:G2"/>
    <mergeCell ref="B15:G15"/>
  </mergeCells>
  <conditionalFormatting sqref="C8:G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2026-08-28T11:04:02Z</dcterms:created>
  <dcterms:modified xsi:type="dcterms:W3CDTF">2026-08-28T13:11:02Z</dcterms:modified>
  <cp:category/>
  <cp:contentStatus/>
</cp:coreProperties>
</file>